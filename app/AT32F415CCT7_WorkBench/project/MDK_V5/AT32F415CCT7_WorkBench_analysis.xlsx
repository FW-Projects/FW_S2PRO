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<sst xmlns="http://schemas.openxmlformats.org/spreadsheetml/2006/main" count="59" uniqueCount="48">
  <si>
    <t>AT32F415CCT7_WorkBench</t>
  </si>
  <si>
    <t>lto-llvm-fde826.o</t>
  </si>
  <si>
    <t>startup_at32f415.o</t>
  </si>
  <si>
    <t>mf_w.l</t>
  </si>
  <si>
    <t>mc_w.l</t>
  </si>
  <si>
    <t>dadd.o</t>
  </si>
  <si>
    <t>dmul.o</t>
  </si>
  <si>
    <t>ddiv.o</t>
  </si>
  <si>
    <t>depilogue.o</t>
  </si>
  <si>
    <t>fadd.o</t>
  </si>
  <si>
    <t>fdiv.o</t>
  </si>
  <si>
    <t>fepilogue.o</t>
  </si>
  <si>
    <t>fmul.o</t>
  </si>
  <si>
    <t>uldiv.o</t>
  </si>
  <si>
    <t>dfixi.o</t>
  </si>
  <si>
    <t>d2f.o</t>
  </si>
  <si>
    <t>ffixi.o</t>
  </si>
  <si>
    <t>init.o</t>
  </si>
  <si>
    <t>ffixui.o</t>
  </si>
  <si>
    <t>cpp_init.o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</si>
  <si>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</si>
  <si>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</si>
  <si>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</si>
  <si>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</si>
  <si>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</si>
  <si>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</si>
  <si>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</si>
  <si>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</si>
  <si>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</si>
  <si>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</si>
  <si>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</si>
  <si>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systick_wrapper_gnu.o</t>
  </si>
  <si>
    <t>dfltui.o</t>
  </si>
  <si>
    <t>ffltui.o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</si>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</sst>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ram_percent!$A$3:$A$40</c:f>
              <c:strCache>
                <c:ptCount val="38"/>
                <c:pt idx="0">
                  <c:v>lto-llvm-fde826.o</c:v>
                </c:pt>
                <c:pt idx="1">
                  <c:v>startup_at32f415.o</c:v>
                </c:pt>
                <c:pt idx="37">
                  <c:v>Totals</c:v>
                </c:pt>
              </c:strCache>
            </c:strRef>
          </c:cat>
          <c:val>
            <c:numRef>
              <c:f>ram_percent!$B$3:$B$40</c:f>
              <c:numCache>
                <c:formatCode>General</c:formatCode>
                <c:ptCount val="38"/>
                <c:pt idx="0">
                  <c:v>89.98239135742188</c:v>
                </c:pt>
                <c:pt idx="1">
                  <c:v>10.01760864257813</c:v>
                </c:pt>
                <c:pt idx="3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flash_percent!$A$3:$A$40</c:f>
              <c:strCache>
                <c:ptCount val="38"/>
                <c:pt idx="0">
                  <c:v>lto-llvm-fde826.o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mc_w.l</c:v>
                </c:pt>
                <c:pt idx="4">
                  <c:v>dadd.o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uldiv.o</c:v>
                </c:pt>
                <c:pt idx="13">
                  <c:v>dfixi.o</c:v>
                </c:pt>
                <c:pt idx="14">
                  <c:v>d2f.o</c:v>
                </c:pt>
                <c:pt idx="15">
                  <c:v>ffixi.o</c:v>
                </c:pt>
                <c:pt idx="16">
                  <c:v>init.o</c:v>
                </c:pt>
                <c:pt idx="17">
                  <c:v>ffixui.o</c:v>
                </c:pt>
                <c:pt idx="18">
                  <c:v>cpp_init.o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systick_wrapper_gnu.o</c:v>
                </c:pt>
                <c:pt idx="31">
                  <c:v>dfltui.o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entry8a.o</c:v>
                </c:pt>
                <c:pt idx="36">
                  <c:v>entry5.o</c:v>
                </c:pt>
                <c:pt idx="37">
                  <c:v>Totals</c:v>
                </c:pt>
              </c:strCache>
            </c:strRef>
          </c:cat>
          <c:val>
            <c:numRef>
              <c:f>flash_percent!$B$3:$B$40</c:f>
              <c:numCache>
                <c:formatCode>General</c:formatCode>
                <c:ptCount val="38"/>
                <c:pt idx="0">
                  <c:v>93.63880157470703</c:v>
                </c:pt>
                <c:pt idx="1">
                  <c:v>2.427568674087524</c:v>
                </c:pt>
                <c:pt idx="2">
                  <c:v>0.5156349539756775</c:v>
                </c:pt>
                <c:pt idx="3">
                  <c:v>0.4773452579975128</c:v>
                </c:pt>
                <c:pt idx="4">
                  <c:v>0.4262922704219818</c:v>
                </c:pt>
                <c:pt idx="5">
                  <c:v>0.2910019159317017</c:v>
                </c:pt>
                <c:pt idx="6">
                  <c:v>0.2833439707756043</c:v>
                </c:pt>
                <c:pt idx="7">
                  <c:v>0.2373962998390198</c:v>
                </c:pt>
                <c:pt idx="8">
                  <c:v>0.224633052945137</c:v>
                </c:pt>
                <c:pt idx="9">
                  <c:v>0.1582642048597336</c:v>
                </c:pt>
                <c:pt idx="10">
                  <c:v>0.1403956562280655</c:v>
                </c:pt>
                <c:pt idx="11">
                  <c:v>0.1276324242353439</c:v>
                </c:pt>
                <c:pt idx="12">
                  <c:v>0.1250797659158707</c:v>
                </c:pt>
                <c:pt idx="13">
                  <c:v>0.07913210242986679</c:v>
                </c:pt>
                <c:pt idx="14">
                  <c:v>0.07147415727376938</c:v>
                </c:pt>
                <c:pt idx="15">
                  <c:v>0.06381621211767197</c:v>
                </c:pt>
                <c:pt idx="16">
                  <c:v>0.0612635612487793</c:v>
                </c:pt>
                <c:pt idx="17">
                  <c:v>0.05105296894907951</c:v>
                </c:pt>
                <c:pt idx="18">
                  <c:v>0.05105296894907951</c:v>
                </c:pt>
                <c:pt idx="19">
                  <c:v>0.04850031808018684</c:v>
                </c:pt>
                <c:pt idx="20">
                  <c:v>0.04594767093658447</c:v>
                </c:pt>
                <c:pt idx="21">
                  <c:v>0.04594767093658447</c:v>
                </c:pt>
                <c:pt idx="22">
                  <c:v>0.04084237292408943</c:v>
                </c:pt>
                <c:pt idx="23">
                  <c:v>0.03828972578048706</c:v>
                </c:pt>
                <c:pt idx="24">
                  <c:v>0.03828972578048706</c:v>
                </c:pt>
                <c:pt idx="25">
                  <c:v>0.03573707863688469</c:v>
                </c:pt>
                <c:pt idx="26">
                  <c:v>0.03573707863688469</c:v>
                </c:pt>
                <c:pt idx="27">
                  <c:v>0.03573707863688469</c:v>
                </c:pt>
                <c:pt idx="28">
                  <c:v>0.03573707863688469</c:v>
                </c:pt>
                <c:pt idx="29">
                  <c:v>0.03573707863688469</c:v>
                </c:pt>
                <c:pt idx="30">
                  <c:v>0.03573707863688469</c:v>
                </c:pt>
                <c:pt idx="31">
                  <c:v>0.03318442776799202</c:v>
                </c:pt>
                <c:pt idx="32">
                  <c:v>0.01276324223726988</c:v>
                </c:pt>
                <c:pt idx="33">
                  <c:v>0.01021059323102236</c:v>
                </c:pt>
                <c:pt idx="34">
                  <c:v>0.01021059323102236</c:v>
                </c:pt>
                <c:pt idx="35">
                  <c:v>0.005105296615511179</c:v>
                </c:pt>
                <c:pt idx="36">
                  <c:v>0.005105296615511179</c:v>
                </c:pt>
                <c:pt idx="3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0" totalsRowCount="1">
  <autoFilter ref="A2:H39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0" totalsRowCount="1">
  <autoFilter ref="A2:H39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0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38</v>
      </c>
      <c r="B2" t="s">
        <v>40</v>
      </c>
      <c r="C2" t="s">
        <v>41</v>
      </c>
      <c r="D2" t="s">
        <v>42</v>
      </c>
      <c r="E2" t="s">
        <v>43</v>
      </c>
      <c r="F2" t="s">
        <v>44</v>
      </c>
      <c r="G2" t="s">
        <v>45</v>
      </c>
      <c r="H2" t="s">
        <v>46</v>
      </c>
    </row>
    <row r="3" spans="1:8">
      <c r="A3" s="1" t="s">
        <v>1</v>
      </c>
      <c r="B3" s="2">
        <v>89.98239135742188</v>
      </c>
      <c r="C3" s="1">
        <v>9198</v>
      </c>
      <c r="D3" s="1">
        <v>73366</v>
      </c>
      <c r="E3" s="1">
        <v>21680</v>
      </c>
      <c r="F3" s="1">
        <v>51485</v>
      </c>
      <c r="G3" s="1">
        <v>201</v>
      </c>
      <c r="H3" s="1">
        <v>8997</v>
      </c>
    </row>
    <row r="4" spans="1:8">
      <c r="A4" s="1" t="s">
        <v>2</v>
      </c>
      <c r="B4" s="2">
        <v>10.01760864257813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40" spans="1:8">
      <c r="A40" t="s">
        <v>39</v>
      </c>
      <c r="B40">
        <f>SUBTOTAL(109,[ram_percent])</f>
        <v>0</v>
      </c>
      <c r="C40">
        <f>SUBTOTAL(109,[ram])</f>
        <v>0</v>
      </c>
      <c r="D40">
        <f>SUBTOTAL(109,[flash])</f>
        <v>0</v>
      </c>
      <c r="E40">
        <f>SUBTOTAL(109,[Code])</f>
        <v>0</v>
      </c>
      <c r="F40">
        <f>SUBTOTAL(109,[RO_data])</f>
        <v>0</v>
      </c>
      <c r="G40">
        <f>SUBTOTAL(109,[RW_data])</f>
        <v>0</v>
      </c>
      <c r="H4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0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38</v>
      </c>
      <c r="B2" t="s">
        <v>47</v>
      </c>
      <c r="C2" t="s">
        <v>42</v>
      </c>
      <c r="D2" t="s">
        <v>41</v>
      </c>
      <c r="E2" t="s">
        <v>43</v>
      </c>
      <c r="F2" t="s">
        <v>44</v>
      </c>
      <c r="G2" t="s">
        <v>45</v>
      </c>
      <c r="H2" t="s">
        <v>46</v>
      </c>
    </row>
    <row r="3" spans="1:8">
      <c r="A3" s="1" t="s">
        <v>1</v>
      </c>
      <c r="B3" s="2">
        <v>93.63880157470703</v>
      </c>
      <c r="C3" s="1">
        <v>73366</v>
      </c>
      <c r="D3" s="1">
        <v>9198</v>
      </c>
      <c r="E3" s="1">
        <v>21680</v>
      </c>
      <c r="F3" s="1">
        <v>51485</v>
      </c>
      <c r="G3" s="1">
        <v>201</v>
      </c>
      <c r="H3" s="1">
        <v>8997</v>
      </c>
    </row>
    <row r="4" spans="1:8">
      <c r="A4" s="1" t="s">
        <v>3</v>
      </c>
      <c r="B4" s="2">
        <v>2.427568674087524</v>
      </c>
      <c r="C4" s="1">
        <v>1902</v>
      </c>
      <c r="D4" s="1">
        <v>0</v>
      </c>
      <c r="E4" s="1">
        <v>1902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0.5156349539756775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0.4773452579975128</v>
      </c>
      <c r="C6" s="1">
        <v>374</v>
      </c>
      <c r="D6" s="1">
        <v>0</v>
      </c>
      <c r="E6" s="1">
        <v>374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0.4262922704219818</v>
      </c>
      <c r="C7" s="1">
        <v>334</v>
      </c>
      <c r="D7" s="1">
        <v>0</v>
      </c>
      <c r="E7" s="1">
        <v>334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0.2910019159317017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0.2833439707756043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0.2373962998390198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0.224633052945137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0.1582642048597336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0.1403956562280655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0.1276324242353439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0.1250797659158707</v>
      </c>
      <c r="C15" s="1">
        <v>98</v>
      </c>
      <c r="D15" s="1">
        <v>0</v>
      </c>
      <c r="E15" s="1">
        <v>98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0.07913210242986679</v>
      </c>
      <c r="C16" s="1">
        <v>62</v>
      </c>
      <c r="D16" s="1">
        <v>0</v>
      </c>
      <c r="E16" s="1">
        <v>62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0.07147415727376938</v>
      </c>
      <c r="C17" s="1">
        <v>56</v>
      </c>
      <c r="D17" s="1">
        <v>0</v>
      </c>
      <c r="E17" s="1">
        <v>56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0.06381621211767197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0.0612635612487793</v>
      </c>
      <c r="C19" s="1">
        <v>48</v>
      </c>
      <c r="D19" s="1">
        <v>0</v>
      </c>
      <c r="E19" s="1">
        <v>48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0.05105296894907951</v>
      </c>
      <c r="C20" s="1">
        <v>40</v>
      </c>
      <c r="D20" s="1">
        <v>0</v>
      </c>
      <c r="E20" s="1">
        <v>40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0.05105296894907951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0.04850031808018684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0.04594767093658447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0.04594767093658447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0.04084237292408943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0.03828972578048706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0.03828972578048706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0.03573707863688469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0.03573707863688469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0.03573707863688469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0.03573707863688469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0.03573707863688469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0.03573707863688469</v>
      </c>
      <c r="C33" s="1">
        <v>28</v>
      </c>
      <c r="D33" s="1">
        <v>0</v>
      </c>
      <c r="E33" s="1">
        <v>28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0.03318442776799202</v>
      </c>
      <c r="C34" s="1">
        <v>26</v>
      </c>
      <c r="D34" s="1">
        <v>0</v>
      </c>
      <c r="E34" s="1">
        <v>26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0.01276324223726988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0.01021059323102236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0.01021059323102236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0.005105296615511179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s="1" t="s">
        <v>37</v>
      </c>
      <c r="B39" s="2">
        <v>0.005105296615511179</v>
      </c>
      <c r="C39" s="1">
        <v>4</v>
      </c>
      <c r="D39" s="1">
        <v>0</v>
      </c>
      <c r="E39" s="1">
        <v>4</v>
      </c>
      <c r="F39" s="1">
        <v>0</v>
      </c>
      <c r="G39" s="1">
        <v>0</v>
      </c>
      <c r="H39" s="1">
        <v>0</v>
      </c>
    </row>
    <row r="40" spans="1:8">
      <c r="A40" t="s">
        <v>39</v>
      </c>
      <c r="B40">
        <f>SUBTOTAL(109,[flash_percent])</f>
        <v>0</v>
      </c>
      <c r="C40">
        <f>SUBTOTAL(109,[flash])</f>
        <v>0</v>
      </c>
      <c r="D40">
        <f>SUBTOTAL(109,[ram])</f>
        <v>0</v>
      </c>
      <c r="E40">
        <f>SUBTOTAL(109,[Code])</f>
        <v>0</v>
      </c>
      <c r="F40">
        <f>SUBTOTAL(109,[RO_data])</f>
        <v>0</v>
      </c>
      <c r="G40">
        <f>SUBTOTAL(109,[RW_data])</f>
        <v>0</v>
      </c>
      <c r="H4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2025-11-15T08:43:04Z</dcterms:created>
  <dcterms:modified xsi:type="dcterms:W3CDTF">2025-11-15T08:43:04Z</dcterms:modified>
</cp:coreProperties>
</file>