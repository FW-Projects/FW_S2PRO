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<sst xmlns="http://schemas.openxmlformats.org/spreadsheetml/2006/main" count="59" uniqueCount="48">
  <si>
    <t>AT32F415CCT7_WorkBench</t>
  </si>
  <si>
    <t>lto-llvm-69fb86.o</t>
  </si>
  <si>
    <t>startup_at32f415.o</t>
  </si>
  <si>
    <t>mf_w.l</t>
  </si>
  <si>
    <t>mc_w.l</t>
  </si>
  <si>
    <t>dadd.o</t>
  </si>
  <si>
    <t>dmul.o</t>
  </si>
  <si>
    <t>ddiv.o</t>
  </si>
  <si>
    <t>depilogue.o</t>
  </si>
  <si>
    <t>fadd.o</t>
  </si>
  <si>
    <t>fdiv.o</t>
  </si>
  <si>
    <t>fepilogue.o</t>
  </si>
  <si>
    <t>fmul.o</t>
  </si>
  <si>
    <t>uldiv.o</t>
  </si>
  <si>
    <t>dfixi.o</t>
  </si>
  <si>
    <t>d2f.o</t>
  </si>
  <si>
    <t>ffixi.o</t>
  </si>
  <si>
    <t>init.o</t>
  </si>
  <si>
    <t>ffixui.o</t>
  </si>
  <si>
    <t>cpp_init.o</t>
  </si>
  <si>
    <t>f2d.o</t>
  </si>
  <si>
    <t>memseta.o</t>
  </si>
  <si>
    <t>llsshr.o</t>
  </si>
  <si>
    <t>llushr.o</t>
  </si>
  <si>
    <t>llshl.o</t>
  </si>
  <si>
    <t>handlers.o</t>
  </si>
  <si>
    <t>fcmplt.o</t>
  </si>
  <si>
    <t>fcmple.o</t>
  </si>
  <si>
    <t>fcmpgt.o</t>
  </si>
  <si>
    <t>fcmpge.o</t>
  </si>
  <si>
    <t>fcmpeq.o</t>
  </si>
  <si>
    <t>systick_wrapper_gnu.o</t>
  </si>
  <si>
    <t>dfltui.o</t>
  </si>
  <si>
    <t>ffltui.o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</si>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</sst>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ram_percent!$A$3:$A$40</c:f>
              <c:strCache>
                <c:ptCount val="38"/>
                <c:pt idx="0">
                  <c:v>lto-llvm-69fb86.o</c:v>
                </c:pt>
                <c:pt idx="1">
                  <c:v>startup_at32f415.o</c:v>
                </c:pt>
                <c:pt idx="37">
                  <c:v>Totals</c:v>
                </c:pt>
              </c:strCache>
            </c:strRef>
          </c:cat>
          <c:val>
            <c:numRef>
              <c:f>ram_percent!$B$3:$B$40</c:f>
              <c:numCache>
                <c:formatCode>General</c:formatCode>
                <c:ptCount val="38"/>
                <c:pt idx="0">
                  <c:v>89.98239135742188</c:v>
                </c:pt>
                <c:pt idx="1">
                  <c:v>10.01760864257813</c:v>
                </c:pt>
                <c:pt idx="3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flash_percent!$A$3:$A$40</c:f>
              <c:strCache>
                <c:ptCount val="38"/>
                <c:pt idx="0">
                  <c:v>lto-llvm-69fb86.o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mc_w.l</c:v>
                </c:pt>
                <c:pt idx="4">
                  <c:v>dadd.o</c:v>
                </c:pt>
                <c:pt idx="5">
                  <c:v>dmul.o</c:v>
                </c:pt>
                <c:pt idx="6">
                  <c:v>ddiv.o</c:v>
                </c:pt>
                <c:pt idx="7">
                  <c:v>depilogue.o</c:v>
                </c:pt>
                <c:pt idx="8">
                  <c:v>fadd.o</c:v>
                </c:pt>
                <c:pt idx="9">
                  <c:v>fdiv.o</c:v>
                </c:pt>
                <c:pt idx="10">
                  <c:v>fepilogue.o</c:v>
                </c:pt>
                <c:pt idx="11">
                  <c:v>fmul.o</c:v>
                </c:pt>
                <c:pt idx="12">
                  <c:v>uldiv.o</c:v>
                </c:pt>
                <c:pt idx="13">
                  <c:v>dfixi.o</c:v>
                </c:pt>
                <c:pt idx="14">
                  <c:v>d2f.o</c:v>
                </c:pt>
                <c:pt idx="15">
                  <c:v>ffixi.o</c:v>
                </c:pt>
                <c:pt idx="16">
                  <c:v>init.o</c:v>
                </c:pt>
                <c:pt idx="17">
                  <c:v>ffixui.o</c:v>
                </c:pt>
                <c:pt idx="18">
                  <c:v>cpp_init.o</c:v>
                </c:pt>
                <c:pt idx="19">
                  <c:v>f2d.o</c:v>
                </c:pt>
                <c:pt idx="20">
                  <c:v>memseta.o</c:v>
                </c:pt>
                <c:pt idx="21">
                  <c:v>llsshr.o</c:v>
                </c:pt>
                <c:pt idx="22">
                  <c:v>llushr.o</c:v>
                </c:pt>
                <c:pt idx="23">
                  <c:v>llshl.o</c:v>
                </c:pt>
                <c:pt idx="24">
                  <c:v>handlers.o</c:v>
                </c:pt>
                <c:pt idx="25">
                  <c:v>fcmplt.o</c:v>
                </c:pt>
                <c:pt idx="26">
                  <c:v>fcmple.o</c:v>
                </c:pt>
                <c:pt idx="27">
                  <c:v>fcmpgt.o</c:v>
                </c:pt>
                <c:pt idx="28">
                  <c:v>fcmpge.o</c:v>
                </c:pt>
                <c:pt idx="29">
                  <c:v>fcmpeq.o</c:v>
                </c:pt>
                <c:pt idx="30">
                  <c:v>systick_wrapper_gnu.o</c:v>
                </c:pt>
                <c:pt idx="31">
                  <c:v>dfltui.o</c:v>
                </c:pt>
                <c:pt idx="32">
                  <c:v>ffltui.o</c:v>
                </c:pt>
                <c:pt idx="33">
                  <c:v>entry9a.o</c:v>
                </c:pt>
                <c:pt idx="34">
                  <c:v>entry2.o</c:v>
                </c:pt>
                <c:pt idx="35">
                  <c:v>entry8a.o</c:v>
                </c:pt>
                <c:pt idx="36">
                  <c:v>entry5.o</c:v>
                </c:pt>
                <c:pt idx="37">
                  <c:v>Totals</c:v>
                </c:pt>
              </c:strCache>
            </c:strRef>
          </c:cat>
          <c:val>
            <c:numRef>
              <c:f>flash_percent!$B$3:$B$40</c:f>
              <c:numCache>
                <c:formatCode>General</c:formatCode>
                <c:ptCount val="38"/>
                <c:pt idx="0">
                  <c:v>93.59761810302734</c:v>
                </c:pt>
                <c:pt idx="1">
                  <c:v>2.443285465240479</c:v>
                </c:pt>
                <c:pt idx="2">
                  <c:v>0.5189733505249023</c:v>
                </c:pt>
                <c:pt idx="3">
                  <c:v>0.4804357290267944</c:v>
                </c:pt>
                <c:pt idx="4">
                  <c:v>0.4290522336959839</c:v>
                </c:pt>
                <c:pt idx="5">
                  <c:v>0.292885959148407</c:v>
                </c:pt>
                <c:pt idx="6">
                  <c:v>0.2851784229278565</c:v>
                </c:pt>
                <c:pt idx="7">
                  <c:v>0.2389332801103592</c:v>
                </c:pt>
                <c:pt idx="8">
                  <c:v>0.2260874062776566</c:v>
                </c:pt>
                <c:pt idx="9">
                  <c:v>0.1592888534069061</c:v>
                </c:pt>
                <c:pt idx="10">
                  <c:v>0.1413046270608902</c:v>
                </c:pt>
                <c:pt idx="11">
                  <c:v>0.1284587532281876</c:v>
                </c:pt>
                <c:pt idx="12">
                  <c:v>0.1258895695209503</c:v>
                </c:pt>
                <c:pt idx="13">
                  <c:v>0.07964442670345306</c:v>
                </c:pt>
                <c:pt idx="14">
                  <c:v>0.07193689793348312</c:v>
                </c:pt>
                <c:pt idx="15">
                  <c:v>0.06422937661409378</c:v>
                </c:pt>
                <c:pt idx="16">
                  <c:v>0.06166020035743713</c:v>
                </c:pt>
                <c:pt idx="17">
                  <c:v>0.05138349905610085</c:v>
                </c:pt>
                <c:pt idx="18">
                  <c:v>0.05138349905610085</c:v>
                </c:pt>
                <c:pt idx="19">
                  <c:v>0.0488143265247345</c:v>
                </c:pt>
                <c:pt idx="20">
                  <c:v>0.04624515026807785</c:v>
                </c:pt>
                <c:pt idx="21">
                  <c:v>0.04624515026807785</c:v>
                </c:pt>
                <c:pt idx="22">
                  <c:v>0.04110680148005486</c:v>
                </c:pt>
                <c:pt idx="23">
                  <c:v>0.03853762522339821</c:v>
                </c:pt>
                <c:pt idx="24">
                  <c:v>0.03853762522339821</c:v>
                </c:pt>
                <c:pt idx="25">
                  <c:v>0.03596844896674156</c:v>
                </c:pt>
                <c:pt idx="26">
                  <c:v>0.03596844896674156</c:v>
                </c:pt>
                <c:pt idx="27">
                  <c:v>0.03596844896674156</c:v>
                </c:pt>
                <c:pt idx="28">
                  <c:v>0.03596844896674156</c:v>
                </c:pt>
                <c:pt idx="29">
                  <c:v>0.03596844896674156</c:v>
                </c:pt>
                <c:pt idx="30">
                  <c:v>0.03596844896674156</c:v>
                </c:pt>
                <c:pt idx="31">
                  <c:v>0.03339927643537521</c:v>
                </c:pt>
                <c:pt idx="32">
                  <c:v>0.01284587476402521</c:v>
                </c:pt>
                <c:pt idx="33">
                  <c:v>0.01027670037001371</c:v>
                </c:pt>
                <c:pt idx="34">
                  <c:v>0.01027670037001371</c:v>
                </c:pt>
                <c:pt idx="35">
                  <c:v>0.005138350185006857</c:v>
                </c:pt>
                <c:pt idx="36">
                  <c:v>0.005138350185006857</c:v>
                </c:pt>
                <c:pt idx="37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40" totalsRowCount="1">
  <autoFilter ref="A2:H39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40" totalsRowCount="1">
  <autoFilter ref="A2:H39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</row>
    <row r="3" spans="1:8">
      <c r="A3" s="1" t="s">
        <v>1</v>
      </c>
      <c r="B3" s="2">
        <v>89.98239135742188</v>
      </c>
      <c r="C3" s="1">
        <v>9198</v>
      </c>
      <c r="D3" s="1">
        <v>72862</v>
      </c>
      <c r="E3" s="1">
        <v>21176</v>
      </c>
      <c r="F3" s="1">
        <v>51485</v>
      </c>
      <c r="G3" s="1">
        <v>201</v>
      </c>
      <c r="H3" s="1">
        <v>8997</v>
      </c>
    </row>
    <row r="4" spans="1:8">
      <c r="A4" s="1" t="s">
        <v>2</v>
      </c>
      <c r="B4" s="2">
        <v>10.01760864257813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40" spans="1:8">
      <c r="A40" t="s">
        <v>39</v>
      </c>
      <c r="B40">
        <f>SUBTOTAL(109,[ram_percent])</f>
        <v>0</v>
      </c>
      <c r="C40">
        <f>SUBTOTAL(109,[ram])</f>
        <v>0</v>
      </c>
      <c r="D40">
        <f>SUBTOTAL(109,[flash])</f>
        <v>0</v>
      </c>
      <c r="E40">
        <f>SUBTOTAL(109,[Code])</f>
        <v>0</v>
      </c>
      <c r="F40">
        <f>SUBTOTAL(109,[RO_data])</f>
        <v>0</v>
      </c>
      <c r="G40">
        <f>SUBTOTAL(109,[RW_data])</f>
        <v>0</v>
      </c>
      <c r="H4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38</v>
      </c>
      <c r="B2" t="s">
        <v>47</v>
      </c>
      <c r="C2" t="s">
        <v>42</v>
      </c>
      <c r="D2" t="s">
        <v>41</v>
      </c>
      <c r="E2" t="s">
        <v>43</v>
      </c>
      <c r="F2" t="s">
        <v>44</v>
      </c>
      <c r="G2" t="s">
        <v>45</v>
      </c>
      <c r="H2" t="s">
        <v>46</v>
      </c>
    </row>
    <row r="3" spans="1:8">
      <c r="A3" s="1" t="s">
        <v>1</v>
      </c>
      <c r="B3" s="2">
        <v>93.59761810302734</v>
      </c>
      <c r="C3" s="1">
        <v>72862</v>
      </c>
      <c r="D3" s="1">
        <v>9198</v>
      </c>
      <c r="E3" s="1">
        <v>21176</v>
      </c>
      <c r="F3" s="1">
        <v>51485</v>
      </c>
      <c r="G3" s="1">
        <v>201</v>
      </c>
      <c r="H3" s="1">
        <v>8997</v>
      </c>
    </row>
    <row r="4" spans="1:8">
      <c r="A4" s="1" t="s">
        <v>3</v>
      </c>
      <c r="B4" s="2">
        <v>2.443285465240479</v>
      </c>
      <c r="C4" s="1">
        <v>1902</v>
      </c>
      <c r="D4" s="1">
        <v>0</v>
      </c>
      <c r="E4" s="1">
        <v>1902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0.5189733505249023</v>
      </c>
      <c r="C5" s="1">
        <v>404</v>
      </c>
      <c r="D5" s="1">
        <v>1024</v>
      </c>
      <c r="E5" s="1">
        <v>36</v>
      </c>
      <c r="F5" s="1">
        <v>368</v>
      </c>
      <c r="G5" s="1">
        <v>0</v>
      </c>
      <c r="H5" s="1">
        <v>1024</v>
      </c>
    </row>
    <row r="6" spans="1:8">
      <c r="A6" s="1" t="s">
        <v>4</v>
      </c>
      <c r="B6" s="2">
        <v>0.4804357290267944</v>
      </c>
      <c r="C6" s="1">
        <v>374</v>
      </c>
      <c r="D6" s="1">
        <v>0</v>
      </c>
      <c r="E6" s="1">
        <v>374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0.4290522336959839</v>
      </c>
      <c r="C7" s="1">
        <v>334</v>
      </c>
      <c r="D7" s="1">
        <v>0</v>
      </c>
      <c r="E7" s="1">
        <v>334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0.292885959148407</v>
      </c>
      <c r="C8" s="1">
        <v>228</v>
      </c>
      <c r="D8" s="1">
        <v>0</v>
      </c>
      <c r="E8" s="1">
        <v>228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0.2851784229278565</v>
      </c>
      <c r="C9" s="1">
        <v>222</v>
      </c>
      <c r="D9" s="1">
        <v>0</v>
      </c>
      <c r="E9" s="1">
        <v>222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0.2389332801103592</v>
      </c>
      <c r="C10" s="1">
        <v>186</v>
      </c>
      <c r="D10" s="1">
        <v>0</v>
      </c>
      <c r="E10" s="1">
        <v>186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0.2260874062776566</v>
      </c>
      <c r="C11" s="1">
        <v>176</v>
      </c>
      <c r="D11" s="1">
        <v>0</v>
      </c>
      <c r="E11" s="1">
        <v>176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0.1592888534069061</v>
      </c>
      <c r="C12" s="1">
        <v>124</v>
      </c>
      <c r="D12" s="1">
        <v>0</v>
      </c>
      <c r="E12" s="1">
        <v>124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0.1413046270608902</v>
      </c>
      <c r="C13" s="1">
        <v>110</v>
      </c>
      <c r="D13" s="1">
        <v>0</v>
      </c>
      <c r="E13" s="1">
        <v>110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0.1284587532281876</v>
      </c>
      <c r="C14" s="1">
        <v>100</v>
      </c>
      <c r="D14" s="1">
        <v>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0.1258895695209503</v>
      </c>
      <c r="C15" s="1">
        <v>98</v>
      </c>
      <c r="D15" s="1">
        <v>0</v>
      </c>
      <c r="E15" s="1">
        <v>98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0.07964442670345306</v>
      </c>
      <c r="C16" s="1">
        <v>62</v>
      </c>
      <c r="D16" s="1">
        <v>0</v>
      </c>
      <c r="E16" s="1">
        <v>62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0.07193689793348312</v>
      </c>
      <c r="C17" s="1">
        <v>56</v>
      </c>
      <c r="D17" s="1">
        <v>0</v>
      </c>
      <c r="E17" s="1">
        <v>56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0.06422937661409378</v>
      </c>
      <c r="C18" s="1">
        <v>50</v>
      </c>
      <c r="D18" s="1">
        <v>0</v>
      </c>
      <c r="E18" s="1">
        <v>50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0.06166020035743713</v>
      </c>
      <c r="C19" s="1">
        <v>48</v>
      </c>
      <c r="D19" s="1">
        <v>0</v>
      </c>
      <c r="E19" s="1">
        <v>48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0.05138349905610085</v>
      </c>
      <c r="C20" s="1">
        <v>40</v>
      </c>
      <c r="D20" s="1">
        <v>0</v>
      </c>
      <c r="E20" s="1">
        <v>40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0.05138349905610085</v>
      </c>
      <c r="C21" s="1">
        <v>40</v>
      </c>
      <c r="D21" s="1">
        <v>0</v>
      </c>
      <c r="E21" s="1">
        <v>40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0.0488143265247345</v>
      </c>
      <c r="C22" s="1">
        <v>38</v>
      </c>
      <c r="D22" s="1">
        <v>0</v>
      </c>
      <c r="E22" s="1">
        <v>38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0.04624515026807785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0.04624515026807785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0.04110680148005486</v>
      </c>
      <c r="C25" s="1">
        <v>32</v>
      </c>
      <c r="D25" s="1">
        <v>0</v>
      </c>
      <c r="E25" s="1">
        <v>32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0.03853762522339821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0.03853762522339821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0.03596844896674156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0.03596844896674156</v>
      </c>
      <c r="C29" s="1">
        <v>28</v>
      </c>
      <c r="D29" s="1">
        <v>0</v>
      </c>
      <c r="E29" s="1">
        <v>28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0.03596844896674156</v>
      </c>
      <c r="C30" s="1">
        <v>28</v>
      </c>
      <c r="D30" s="1">
        <v>0</v>
      </c>
      <c r="E30" s="1">
        <v>28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0.03596844896674156</v>
      </c>
      <c r="C31" s="1">
        <v>28</v>
      </c>
      <c r="D31" s="1">
        <v>0</v>
      </c>
      <c r="E31" s="1">
        <v>28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0.03596844896674156</v>
      </c>
      <c r="C32" s="1">
        <v>28</v>
      </c>
      <c r="D32" s="1">
        <v>0</v>
      </c>
      <c r="E32" s="1">
        <v>28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0.03596844896674156</v>
      </c>
      <c r="C33" s="1">
        <v>28</v>
      </c>
      <c r="D33" s="1">
        <v>0</v>
      </c>
      <c r="E33" s="1">
        <v>28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0.03339927643537521</v>
      </c>
      <c r="C34" s="1">
        <v>26</v>
      </c>
      <c r="D34" s="1">
        <v>0</v>
      </c>
      <c r="E34" s="1">
        <v>26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0.01284587476402521</v>
      </c>
      <c r="C35" s="1">
        <v>10</v>
      </c>
      <c r="D35" s="1">
        <v>0</v>
      </c>
      <c r="E35" s="1">
        <v>10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0.01027670037001371</v>
      </c>
      <c r="C36" s="1">
        <v>8</v>
      </c>
      <c r="D36" s="1">
        <v>0</v>
      </c>
      <c r="E36" s="1">
        <v>8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0.01027670037001371</v>
      </c>
      <c r="C37" s="1">
        <v>8</v>
      </c>
      <c r="D37" s="1">
        <v>0</v>
      </c>
      <c r="E37" s="1">
        <v>8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0.005138350185006857</v>
      </c>
      <c r="C38" s="1">
        <v>4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</row>
    <row r="39" spans="1:8">
      <c r="A39" s="1" t="s">
        <v>37</v>
      </c>
      <c r="B39" s="2">
        <v>0.005138350185006857</v>
      </c>
      <c r="C39" s="1">
        <v>4</v>
      </c>
      <c r="D39" s="1">
        <v>0</v>
      </c>
      <c r="E39" s="1">
        <v>4</v>
      </c>
      <c r="F39" s="1">
        <v>0</v>
      </c>
      <c r="G39" s="1">
        <v>0</v>
      </c>
      <c r="H39" s="1">
        <v>0</v>
      </c>
    </row>
    <row r="40" spans="1:8">
      <c r="A40" t="s">
        <v>39</v>
      </c>
      <c r="B40">
        <f>SUBTOTAL(109,[flash_percent])</f>
        <v>0</v>
      </c>
      <c r="C40">
        <f>SUBTOTAL(109,[flash])</f>
        <v>0</v>
      </c>
      <c r="D40">
        <f>SUBTOTAL(109,[ram])</f>
        <v>0</v>
      </c>
      <c r="E40">
        <f>SUBTOTAL(109,[Code])</f>
        <v>0</v>
      </c>
      <c r="F40">
        <f>SUBTOTAL(109,[RO_data])</f>
        <v>0</v>
      </c>
      <c r="G40">
        <f>SUBTOTAL(109,[RW_data])</f>
        <v>0</v>
      </c>
      <c r="H40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2025-11-12T08:00:53Z</dcterms:created>
  <dcterms:modified xsi:type="dcterms:W3CDTF">2025-11-12T08:00:53Z</dcterms:modified>
</cp:coreProperties>
</file>